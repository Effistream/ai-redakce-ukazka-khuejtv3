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dnocení" sheetId="1" state="visible" r:id="rId1"/>
    <sheet xmlns:r="http://schemas.openxmlformats.org/officeDocument/2006/relationships" name="Souhrn" sheetId="2" state="visible" r:id="rId2"/>
    <sheet xmlns:r="http://schemas.openxmlformats.org/officeDocument/2006/relationships" name="Návod" sheetId="3" state="visible" r:id="rId3"/>
  </sheets>
  <definedNames>
    <definedName name="_xlnm._FilterDatabase" localSheetId="0" hidden="1">'Hodnocení'!$A$6:$N$46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color rgb="00808080"/>
      <sz val="10"/>
    </font>
    <font>
      <name val="Arial"/>
      <b val="1"/>
      <color rgb="00B71C1C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E7EBF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top style="thin">
        <color rgb="00B8C2D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applyAlignment="1" pivotButton="0" quotePrefix="0" xfId="0">
      <alignment vertical="top"/>
    </xf>
    <xf numFmtId="0" fontId="2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4" customWidth="1" min="3" max="3"/>
    <col width="18" customWidth="1" min="4" max="4"/>
    <col width="2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0" customWidth="1" min="13" max="13"/>
    <col width="22" customWidth="1" min="14" max="14"/>
  </cols>
  <sheetData>
    <row r="1">
      <c r="A1" s="1" t="inlineStr">
        <is>
          <t>Hodnocení ukázek článků (naslepo)</t>
        </is>
      </c>
    </row>
    <row r="2">
      <c r="A2" s="2" t="inlineStr">
        <is>
          <t>Hodnotitel/ka:</t>
        </is>
      </c>
      <c r="C2" s="3" t="n"/>
    </row>
    <row r="3">
      <c r="A3" s="2" t="inlineStr">
        <is>
          <t>Hodnotím za:</t>
        </is>
      </c>
      <c r="C3" s="3" t="n"/>
    </row>
    <row r="4">
      <c r="A4" s="4" t="inlineStr">
        <is>
          <t>Stupnice 1–5: 5 = vydat po drobné úpravě, 4 = do 15 minut úprav, 3 = větší úpravy, 2 = přepsat podstatnou část, 1 = nepoužitelné. Povinné je jen Celkově. Řádky verzí, které neprošly kontrolou (šedé), nevyplňujte. Návod je na listu Návod.</t>
        </is>
      </c>
    </row>
    <row r="5"/>
    <row r="6" ht="42" customHeight="1">
      <c r="A6" s="5" t="inlineStr">
        <is>
          <t>Označení</t>
        </is>
      </c>
      <c r="B6" s="5" t="inlineStr">
        <is>
          <t>Téma</t>
        </is>
      </c>
      <c r="C6" s="5" t="inlineStr">
        <is>
          <t>Název tématu</t>
        </is>
      </c>
      <c r="D6" s="5" t="inlineStr">
        <is>
          <t>Cesta</t>
        </is>
      </c>
      <c r="E6" s="5" t="inlineStr">
        <is>
          <t>Stav verze</t>
        </is>
      </c>
      <c r="F6" s="5" t="inlineStr">
        <is>
          <t>K hodnocení</t>
        </is>
      </c>
      <c r="G6" s="5" t="inlineStr">
        <is>
          <t>Celkově (1–5)</t>
        </is>
      </c>
      <c r="H6" s="5" t="inlineStr">
        <is>
          <t>Úhel a zpracování (1–5)</t>
        </is>
      </c>
      <c r="I6" s="5" t="inlineStr">
        <is>
          <t>Fakta (1–5)</t>
        </is>
      </c>
      <c r="J6" s="5" t="inlineStr">
        <is>
          <t>Styl a tón (1–5)</t>
        </is>
      </c>
      <c r="K6" s="5" t="inlineStr">
        <is>
          <t>Struktura (1–5)</t>
        </is>
      </c>
      <c r="L6" s="5" t="inlineStr">
        <is>
          <t>Odkazy a zdroje (1–5)</t>
        </is>
      </c>
      <c r="M6" s="5" t="inlineStr">
        <is>
          <t>Poznámka</t>
        </is>
      </c>
      <c r="N6" s="5" t="inlineStr">
        <is>
          <t>Kontrola</t>
        </is>
      </c>
    </row>
    <row r="7">
      <c r="A7" s="6" t="inlineStr">
        <is>
          <t>T1-A</t>
        </is>
      </c>
      <c r="B7" s="6" t="inlineStr">
        <is>
          <t>T1</t>
        </is>
      </c>
      <c r="C7" s="6" t="inlineStr">
        <is>
          <t>OECD: podíl vysokoškoláků v Česku</t>
        </is>
      </c>
      <c r="D7" s="6" t="inlineStr">
        <is>
          <t>Rozšířená rešerše</t>
        </is>
      </c>
      <c r="E7" s="6" t="inlineStr">
        <is>
          <t>neprošla – nehodnotí se</t>
        </is>
      </c>
      <c r="F7" s="6" t="inlineStr">
        <is>
          <t>ne</t>
        </is>
      </c>
      <c r="G7" s="6" t="n"/>
      <c r="H7" s="6" t="n"/>
      <c r="I7" s="6" t="n"/>
      <c r="J7" s="6" t="n"/>
      <c r="K7" s="6" t="n"/>
      <c r="L7" s="6" t="n"/>
      <c r="M7" s="6" t="n"/>
      <c r="N7" s="7">
        <f>IF(COUNTA(G7:L7)&gt;0,"neprošlá verze se nehodnotí","")</f>
        <v/>
      </c>
    </row>
    <row r="8">
      <c r="A8" s="8" t="inlineStr">
        <is>
          <t>T1-B</t>
        </is>
      </c>
      <c r="B8" s="8" t="inlineStr">
        <is>
          <t>T1</t>
        </is>
      </c>
      <c r="C8" s="8" t="inlineStr">
        <is>
          <t>OECD: podíl vysokoškoláků v Česku</t>
        </is>
      </c>
      <c r="D8" s="8" t="inlineStr">
        <is>
          <t>Rozšířená rešerše</t>
        </is>
      </c>
      <c r="E8" s="8" t="inlineStr">
        <is>
          <t>prošla po jedné opravě</t>
        </is>
      </c>
      <c r="F8" s="8" t="inlineStr">
        <is>
          <t>ano</t>
        </is>
      </c>
      <c r="G8" s="8" t="n"/>
      <c r="H8" s="8" t="n"/>
      <c r="I8" s="8" t="n"/>
      <c r="J8" s="8" t="n"/>
      <c r="K8" s="8" t="n"/>
      <c r="L8" s="8" t="n"/>
      <c r="M8" s="8" t="n"/>
      <c r="N8" s="9">
        <f>IF(COUNTA(G8:L8)&lt;&gt;COUNTIF(G8:L8,1)+COUNTIF(G8:L8,2)+COUNTIF(G8:L8,3)+COUNTIF(G8:L8,4)+COUNTIF(G8:L8,5),"jen celá čísla 1–5",IF(AND(COUNTA(H8:L8)&gt;0,COUNTA(G8)=0),"doplňte Celkově",""))</f>
        <v/>
      </c>
    </row>
    <row r="9">
      <c r="A9" s="8" t="inlineStr">
        <is>
          <t>T1-C</t>
        </is>
      </c>
      <c r="B9" s="8" t="inlineStr">
        <is>
          <t>T1</t>
        </is>
      </c>
      <c r="C9" s="8" t="inlineStr">
        <is>
          <t>OECD: podíl vysokoškoláků v Česku</t>
        </is>
      </c>
      <c r="D9" s="8" t="inlineStr">
        <is>
          <t>Rozšířená rešerše</t>
        </is>
      </c>
      <c r="E9" s="8" t="inlineStr">
        <is>
          <t>prošla po jedné opravě</t>
        </is>
      </c>
      <c r="F9" s="8" t="inlineStr">
        <is>
          <t>ano</t>
        </is>
      </c>
      <c r="G9" s="8" t="n"/>
      <c r="H9" s="8" t="n"/>
      <c r="I9" s="8" t="n"/>
      <c r="J9" s="8" t="n"/>
      <c r="K9" s="8" t="n"/>
      <c r="L9" s="8" t="n"/>
      <c r="M9" s="8" t="n"/>
      <c r="N9" s="9">
        <f>IF(COUNTA(G9:L9)&lt;&gt;COUNTIF(G9:L9,1)+COUNTIF(G9:L9,2)+COUNTIF(G9:L9,3)+COUNTIF(G9:L9,4)+COUNTIF(G9:L9,5),"jen celá čísla 1–5",IF(AND(COUNTA(H9:L9)&gt;0,COUNTA(G9)=0),"doplňte Celkově",""))</f>
        <v/>
      </c>
    </row>
    <row r="10">
      <c r="A10" s="8" t="inlineStr">
        <is>
          <t>T1-D</t>
        </is>
      </c>
      <c r="B10" s="8" t="inlineStr">
        <is>
          <t>T1</t>
        </is>
      </c>
      <c r="C10" s="8" t="inlineStr">
        <is>
          <t>OECD: podíl vysokoškoláků v Česku</t>
        </is>
      </c>
      <c r="D10" s="8" t="inlineStr">
        <is>
          <t>Rozšířená rešerše</t>
        </is>
      </c>
      <c r="E10" s="8" t="inlineStr">
        <is>
          <t>prošla po jedné opravě</t>
        </is>
      </c>
      <c r="F10" s="8" t="inlineStr">
        <is>
          <t>ano</t>
        </is>
      </c>
      <c r="G10" s="8" t="n"/>
      <c r="H10" s="8" t="n"/>
      <c r="I10" s="8" t="n"/>
      <c r="J10" s="8" t="n"/>
      <c r="K10" s="8" t="n"/>
      <c r="L10" s="8" t="n"/>
      <c r="M10" s="8" t="n"/>
      <c r="N10" s="9">
        <f>IF(COUNTA(G10:L10)&lt;&gt;COUNTIF(G10:L10,1)+COUNTIF(G10:L10,2)+COUNTIF(G10:L10,3)+COUNTIF(G10:L10,4)+COUNTIF(G10:L10,5),"jen celá čísla 1–5",IF(AND(COUNTA(H10:L10)&gt;0,COUNTA(G10)=0),"doplňte Celkově",""))</f>
        <v/>
      </c>
    </row>
    <row r="11">
      <c r="A11" s="8" t="inlineStr">
        <is>
          <t>T1-E</t>
        </is>
      </c>
      <c r="B11" s="8" t="inlineStr">
        <is>
          <t>T1</t>
        </is>
      </c>
      <c r="C11" s="8" t="inlineStr">
        <is>
          <t>OECD: podíl vysokoškoláků v Česku</t>
        </is>
      </c>
      <c r="D11" s="8" t="inlineStr">
        <is>
          <t>Rozšířená rešerše</t>
        </is>
      </c>
      <c r="E11" s="8" t="inlineStr">
        <is>
          <t>prošla po jedné opravě</t>
        </is>
      </c>
      <c r="F11" s="8" t="inlineStr">
        <is>
          <t>ano</t>
        </is>
      </c>
      <c r="G11" s="8" t="n"/>
      <c r="H11" s="8" t="n"/>
      <c r="I11" s="8" t="n"/>
      <c r="J11" s="8" t="n"/>
      <c r="K11" s="8" t="n"/>
      <c r="L11" s="8" t="n"/>
      <c r="M11" s="8" t="n"/>
      <c r="N11" s="9">
        <f>IF(COUNTA(G11:L11)&lt;&gt;COUNTIF(G11:L11,1)+COUNTIF(G11:L11,2)+COUNTIF(G11:L11,3)+COUNTIF(G11:L11,4)+COUNTIF(G11:L11,5),"jen celá čísla 1–5",IF(AND(COUNTA(H11:L11)&gt;0,COUNTA(G11)=0),"doplňte Celkově",""))</f>
        <v/>
      </c>
    </row>
    <row r="12">
      <c r="A12" s="10" t="inlineStr">
        <is>
          <t>T1-auto-A</t>
        </is>
      </c>
      <c r="B12" s="10" t="inlineStr">
        <is>
          <t>T1</t>
        </is>
      </c>
      <c r="C12" s="10" t="inlineStr">
        <is>
          <t>OECD: podíl vysokoškoláků v Česku</t>
        </is>
      </c>
      <c r="D12" s="10" t="inlineStr">
        <is>
          <t>Automatická cesta</t>
        </is>
      </c>
      <c r="E12" s="10" t="inlineStr">
        <is>
          <t>prošla po jedné opravě</t>
        </is>
      </c>
      <c r="F12" s="10" t="inlineStr">
        <is>
          <t>ano</t>
        </is>
      </c>
      <c r="G12" s="10" t="n"/>
      <c r="H12" s="10" t="n"/>
      <c r="I12" s="10" t="n"/>
      <c r="J12" s="10" t="n"/>
      <c r="K12" s="10" t="n"/>
      <c r="L12" s="10" t="n"/>
      <c r="M12" s="10" t="n"/>
      <c r="N12" s="11">
        <f>IF(COUNTA(G12:L12)&lt;&gt;COUNTIF(G12:L12,1)+COUNTIF(G12:L12,2)+COUNTIF(G12:L12,3)+COUNTIF(G12:L12,4)+COUNTIF(G12:L12,5),"jen celá čísla 1–5",IF(AND(COUNTA(H12:L12)&gt;0,COUNTA(G12)=0),"doplňte Celkově",""))</f>
        <v/>
      </c>
    </row>
    <row r="13">
      <c r="A13" s="6" t="inlineStr">
        <is>
          <t>T1-auto-B</t>
        </is>
      </c>
      <c r="B13" s="6" t="inlineStr">
        <is>
          <t>T1</t>
        </is>
      </c>
      <c r="C13" s="6" t="inlineStr">
        <is>
          <t>OECD: podíl vysokoškoláků v Česku</t>
        </is>
      </c>
      <c r="D13" s="6" t="inlineStr">
        <is>
          <t>Automatická cesta</t>
        </is>
      </c>
      <c r="E13" s="6" t="inlineStr">
        <is>
          <t>neprošla – nehodnotí se</t>
        </is>
      </c>
      <c r="F13" s="6" t="inlineStr">
        <is>
          <t>ne</t>
        </is>
      </c>
      <c r="G13" s="6" t="n"/>
      <c r="H13" s="6" t="n"/>
      <c r="I13" s="6" t="n"/>
      <c r="J13" s="6" t="n"/>
      <c r="K13" s="6" t="n"/>
      <c r="L13" s="6" t="n"/>
      <c r="M13" s="6" t="n"/>
      <c r="N13" s="7">
        <f>IF(COUNTA(G13:L13)&gt;0,"neprošlá verze se nehodnotí","")</f>
        <v/>
      </c>
    </row>
    <row r="14">
      <c r="A14" s="6" t="inlineStr">
        <is>
          <t>T1-auto-C</t>
        </is>
      </c>
      <c r="B14" s="6" t="inlineStr">
        <is>
          <t>T1</t>
        </is>
      </c>
      <c r="C14" s="6" t="inlineStr">
        <is>
          <t>OECD: podíl vysokoškoláků v Česku</t>
        </is>
      </c>
      <c r="D14" s="6" t="inlineStr">
        <is>
          <t>Automatická cesta</t>
        </is>
      </c>
      <c r="E14" s="6" t="inlineStr">
        <is>
          <t>neprošla – nehodnotí se</t>
        </is>
      </c>
      <c r="F14" s="6" t="inlineStr">
        <is>
          <t>ne</t>
        </is>
      </c>
      <c r="G14" s="6" t="n"/>
      <c r="H14" s="6" t="n"/>
      <c r="I14" s="6" t="n"/>
      <c r="J14" s="6" t="n"/>
      <c r="K14" s="6" t="n"/>
      <c r="L14" s="6" t="n"/>
      <c r="M14" s="6" t="n"/>
      <c r="N14" s="7">
        <f>IF(COUNTA(G14:L14)&gt;0,"neprošlá verze se nehodnotí","")</f>
        <v/>
      </c>
    </row>
    <row r="15">
      <c r="A15" s="8" t="inlineStr">
        <is>
          <t>T1-auto-D</t>
        </is>
      </c>
      <c r="B15" s="8" t="inlineStr">
        <is>
          <t>T1</t>
        </is>
      </c>
      <c r="C15" s="8" t="inlineStr">
        <is>
          <t>OECD: podíl vysokoškoláků v Česku</t>
        </is>
      </c>
      <c r="D15" s="8" t="inlineStr">
        <is>
          <t>Automatická cesta</t>
        </is>
      </c>
      <c r="E15" s="8" t="inlineStr">
        <is>
          <t>prošla po jedné opravě</t>
        </is>
      </c>
      <c r="F15" s="8" t="inlineStr">
        <is>
          <t>ano</t>
        </is>
      </c>
      <c r="G15" s="8" t="n"/>
      <c r="H15" s="8" t="n"/>
      <c r="I15" s="8" t="n"/>
      <c r="J15" s="8" t="n"/>
      <c r="K15" s="8" t="n"/>
      <c r="L15" s="8" t="n"/>
      <c r="M15" s="8" t="n"/>
      <c r="N15" s="9">
        <f>IF(COUNTA(G15:L15)&lt;&gt;COUNTIF(G15:L15,1)+COUNTIF(G15:L15,2)+COUNTIF(G15:L15,3)+COUNTIF(G15:L15,4)+COUNTIF(G15:L15,5),"jen celá čísla 1–5",IF(AND(COUNTA(H15:L15)&gt;0,COUNTA(G15)=0),"doplňte Celkově",""))</f>
        <v/>
      </c>
    </row>
    <row r="16">
      <c r="A16" s="8" t="inlineStr">
        <is>
          <t>T1-auto-E</t>
        </is>
      </c>
      <c r="B16" s="8" t="inlineStr">
        <is>
          <t>T1</t>
        </is>
      </c>
      <c r="C16" s="8" t="inlineStr">
        <is>
          <t>OECD: podíl vysokoškoláků v Česku</t>
        </is>
      </c>
      <c r="D16" s="8" t="inlineStr">
        <is>
          <t>Automatická cesta</t>
        </is>
      </c>
      <c r="E16" s="8" t="inlineStr">
        <is>
          <t>prošla po jedné opravě</t>
        </is>
      </c>
      <c r="F16" s="8" t="inlineStr">
        <is>
          <t>ano</t>
        </is>
      </c>
      <c r="G16" s="8" t="n"/>
      <c r="H16" s="8" t="n"/>
      <c r="I16" s="8" t="n"/>
      <c r="J16" s="8" t="n"/>
      <c r="K16" s="8" t="n"/>
      <c r="L16" s="8" t="n"/>
      <c r="M16" s="8" t="n"/>
      <c r="N16" s="9">
        <f>IF(COUNTA(G16:L16)&lt;&gt;COUNTIF(G16:L16,1)+COUNTIF(G16:L16,2)+COUNTIF(G16:L16,3)+COUNTIF(G16:L16,4)+COUNTIF(G16:L16,5),"jen celá čísla 1–5",IF(AND(COUNTA(H16:L16)&gt;0,COUNTA(G16)=0),"doplňte Celkově",""))</f>
        <v/>
      </c>
    </row>
    <row r="17">
      <c r="A17" s="10" t="inlineStr">
        <is>
          <t>T2-A</t>
        </is>
      </c>
      <c r="B17" s="10" t="inlineStr">
        <is>
          <t>T2</t>
        </is>
      </c>
      <c r="C17" s="10" t="inlineStr">
        <is>
          <t>Nový kampus UK v Hradci Králové</t>
        </is>
      </c>
      <c r="D17" s="10" t="inlineStr">
        <is>
          <t>Rozšířená rešerše</t>
        </is>
      </c>
      <c r="E17" s="10" t="inlineStr">
        <is>
          <t>prošla napoprvé</t>
        </is>
      </c>
      <c r="F17" s="10" t="inlineStr">
        <is>
          <t>ano</t>
        </is>
      </c>
      <c r="G17" s="10" t="n"/>
      <c r="H17" s="10" t="n"/>
      <c r="I17" s="10" t="n"/>
      <c r="J17" s="10" t="n"/>
      <c r="K17" s="10" t="n"/>
      <c r="L17" s="10" t="n"/>
      <c r="M17" s="10" t="n"/>
      <c r="N17" s="11">
        <f>IF(COUNTA(G17:L17)&lt;&gt;COUNTIF(G17:L17,1)+COUNTIF(G17:L17,2)+COUNTIF(G17:L17,3)+COUNTIF(G17:L17,4)+COUNTIF(G17:L17,5),"jen celá čísla 1–5",IF(AND(COUNTA(H17:L17)&gt;0,COUNTA(G17)=0),"doplňte Celkově",""))</f>
        <v/>
      </c>
    </row>
    <row r="18">
      <c r="A18" s="6" t="inlineStr">
        <is>
          <t>T2-B</t>
        </is>
      </c>
      <c r="B18" s="6" t="inlineStr">
        <is>
          <t>T2</t>
        </is>
      </c>
      <c r="C18" s="6" t="inlineStr">
        <is>
          <t>Nový kampus UK v Hradci Králové</t>
        </is>
      </c>
      <c r="D18" s="6" t="inlineStr">
        <is>
          <t>Rozšířená rešerše</t>
        </is>
      </c>
      <c r="E18" s="6" t="inlineStr">
        <is>
          <t>neprošla – nehodnotí se</t>
        </is>
      </c>
      <c r="F18" s="6" t="inlineStr">
        <is>
          <t>ne</t>
        </is>
      </c>
      <c r="G18" s="6" t="n"/>
      <c r="H18" s="6" t="n"/>
      <c r="I18" s="6" t="n"/>
      <c r="J18" s="6" t="n"/>
      <c r="K18" s="6" t="n"/>
      <c r="L18" s="6" t="n"/>
      <c r="M18" s="6" t="n"/>
      <c r="N18" s="7">
        <f>IF(COUNTA(G18:L18)&gt;0,"neprošlá verze se nehodnotí","")</f>
        <v/>
      </c>
    </row>
    <row r="19">
      <c r="A19" s="8" t="inlineStr">
        <is>
          <t>T2-C</t>
        </is>
      </c>
      <c r="B19" s="8" t="inlineStr">
        <is>
          <t>T2</t>
        </is>
      </c>
      <c r="C19" s="8" t="inlineStr">
        <is>
          <t>Nový kampus UK v Hradci Králové</t>
        </is>
      </c>
      <c r="D19" s="8" t="inlineStr">
        <is>
          <t>Rozšířená rešerše</t>
        </is>
      </c>
      <c r="E19" s="8" t="inlineStr">
        <is>
          <t>prošla napoprvé</t>
        </is>
      </c>
      <c r="F19" s="8" t="inlineStr">
        <is>
          <t>ano</t>
        </is>
      </c>
      <c r="G19" s="8" t="n"/>
      <c r="H19" s="8" t="n"/>
      <c r="I19" s="8" t="n"/>
      <c r="J19" s="8" t="n"/>
      <c r="K19" s="8" t="n"/>
      <c r="L19" s="8" t="n"/>
      <c r="M19" s="8" t="n"/>
      <c r="N19" s="9">
        <f>IF(COUNTA(G19:L19)&lt;&gt;COUNTIF(G19:L19,1)+COUNTIF(G19:L19,2)+COUNTIF(G19:L19,3)+COUNTIF(G19:L19,4)+COUNTIF(G19:L19,5),"jen celá čísla 1–5",IF(AND(COUNTA(H19:L19)&gt;0,COUNTA(G19)=0),"doplňte Celkově",""))</f>
        <v/>
      </c>
    </row>
    <row r="20">
      <c r="A20" s="8" t="inlineStr">
        <is>
          <t>T2-D</t>
        </is>
      </c>
      <c r="B20" s="8" t="inlineStr">
        <is>
          <t>T2</t>
        </is>
      </c>
      <c r="C20" s="8" t="inlineStr">
        <is>
          <t>Nový kampus UK v Hradci Králové</t>
        </is>
      </c>
      <c r="D20" s="8" t="inlineStr">
        <is>
          <t>Rozšířená rešerše</t>
        </is>
      </c>
      <c r="E20" s="8" t="inlineStr">
        <is>
          <t>prošla napoprvé</t>
        </is>
      </c>
      <c r="F20" s="8" t="inlineStr">
        <is>
          <t>ano</t>
        </is>
      </c>
      <c r="G20" s="8" t="n"/>
      <c r="H20" s="8" t="n"/>
      <c r="I20" s="8" t="n"/>
      <c r="J20" s="8" t="n"/>
      <c r="K20" s="8" t="n"/>
      <c r="L20" s="8" t="n"/>
      <c r="M20" s="8" t="n"/>
      <c r="N20" s="9">
        <f>IF(COUNTA(G20:L20)&lt;&gt;COUNTIF(G20:L20,1)+COUNTIF(G20:L20,2)+COUNTIF(G20:L20,3)+COUNTIF(G20:L20,4)+COUNTIF(G20:L20,5),"jen celá čísla 1–5",IF(AND(COUNTA(H20:L20)&gt;0,COUNTA(G20)=0),"doplňte Celkově",""))</f>
        <v/>
      </c>
    </row>
    <row r="21">
      <c r="A21" s="8" t="inlineStr">
        <is>
          <t>T2-E</t>
        </is>
      </c>
      <c r="B21" s="8" t="inlineStr">
        <is>
          <t>T2</t>
        </is>
      </c>
      <c r="C21" s="8" t="inlineStr">
        <is>
          <t>Nový kampus UK v Hradci Králové</t>
        </is>
      </c>
      <c r="D21" s="8" t="inlineStr">
        <is>
          <t>Rozšířená rešerše</t>
        </is>
      </c>
      <c r="E21" s="8" t="inlineStr">
        <is>
          <t>prošla po jedné opravě</t>
        </is>
      </c>
      <c r="F21" s="8" t="inlineStr">
        <is>
          <t>ano</t>
        </is>
      </c>
      <c r="G21" s="8" t="n"/>
      <c r="H21" s="8" t="n"/>
      <c r="I21" s="8" t="n"/>
      <c r="J21" s="8" t="n"/>
      <c r="K21" s="8" t="n"/>
      <c r="L21" s="8" t="n"/>
      <c r="M21" s="8" t="n"/>
      <c r="N21" s="9">
        <f>IF(COUNTA(G21:L21)&lt;&gt;COUNTIF(G21:L21,1)+COUNTIF(G21:L21,2)+COUNTIF(G21:L21,3)+COUNTIF(G21:L21,4)+COUNTIF(G21:L21,5),"jen celá čísla 1–5",IF(AND(COUNTA(H21:L21)&gt;0,COUNTA(G21)=0),"doplňte Celkově",""))</f>
        <v/>
      </c>
    </row>
    <row r="22">
      <c r="A22" s="10" t="inlineStr">
        <is>
          <t>T3-A</t>
        </is>
      </c>
      <c r="B22" s="10" t="inlineStr">
        <is>
          <t>T3</t>
        </is>
      </c>
      <c r="C22" s="10" t="inlineStr">
        <is>
          <t>Přestavba strahovských kolejí ČVUT</t>
        </is>
      </c>
      <c r="D22" s="10" t="inlineStr">
        <is>
          <t>Rozšířená rešerše</t>
        </is>
      </c>
      <c r="E22" s="10" t="inlineStr">
        <is>
          <t>prošla po jedné opravě</t>
        </is>
      </c>
      <c r="F22" s="10" t="inlineStr">
        <is>
          <t>ano</t>
        </is>
      </c>
      <c r="G22" s="10" t="n"/>
      <c r="H22" s="10" t="n"/>
      <c r="I22" s="10" t="n"/>
      <c r="J22" s="10" t="n"/>
      <c r="K22" s="10" t="n"/>
      <c r="L22" s="10" t="n"/>
      <c r="M22" s="10" t="n"/>
      <c r="N22" s="11">
        <f>IF(COUNTA(G22:L22)&lt;&gt;COUNTIF(G22:L22,1)+COUNTIF(G22:L22,2)+COUNTIF(G22:L22,3)+COUNTIF(G22:L22,4)+COUNTIF(G22:L22,5),"jen celá čísla 1–5",IF(AND(COUNTA(H22:L22)&gt;0,COUNTA(G22)=0),"doplňte Celkově",""))</f>
        <v/>
      </c>
    </row>
    <row r="23">
      <c r="A23" s="8" t="inlineStr">
        <is>
          <t>T3-B</t>
        </is>
      </c>
      <c r="B23" s="8" t="inlineStr">
        <is>
          <t>T3</t>
        </is>
      </c>
      <c r="C23" s="8" t="inlineStr">
        <is>
          <t>Přestavba strahovských kolejí ČVUT</t>
        </is>
      </c>
      <c r="D23" s="8" t="inlineStr">
        <is>
          <t>Rozšířená rešerše</t>
        </is>
      </c>
      <c r="E23" s="8" t="inlineStr">
        <is>
          <t>prošla po jedné opravě</t>
        </is>
      </c>
      <c r="F23" s="8" t="inlineStr">
        <is>
          <t>ano</t>
        </is>
      </c>
      <c r="G23" s="8" t="n"/>
      <c r="H23" s="8" t="n"/>
      <c r="I23" s="8" t="n"/>
      <c r="J23" s="8" t="n"/>
      <c r="K23" s="8" t="n"/>
      <c r="L23" s="8" t="n"/>
      <c r="M23" s="8" t="n"/>
      <c r="N23" s="9">
        <f>IF(COUNTA(G23:L23)&lt;&gt;COUNTIF(G23:L23,1)+COUNTIF(G23:L23,2)+COUNTIF(G23:L23,3)+COUNTIF(G23:L23,4)+COUNTIF(G23:L23,5),"jen celá čísla 1–5",IF(AND(COUNTA(H23:L23)&gt;0,COUNTA(G23)=0),"doplňte Celkově",""))</f>
        <v/>
      </c>
    </row>
    <row r="24">
      <c r="A24" s="8" t="inlineStr">
        <is>
          <t>T3-C</t>
        </is>
      </c>
      <c r="B24" s="8" t="inlineStr">
        <is>
          <t>T3</t>
        </is>
      </c>
      <c r="C24" s="8" t="inlineStr">
        <is>
          <t>Přestavba strahovských kolejí ČVUT</t>
        </is>
      </c>
      <c r="D24" s="8" t="inlineStr">
        <is>
          <t>Rozšířená rešerše</t>
        </is>
      </c>
      <c r="E24" s="8" t="inlineStr">
        <is>
          <t>prošla po jedné opravě</t>
        </is>
      </c>
      <c r="F24" s="8" t="inlineStr">
        <is>
          <t>ano</t>
        </is>
      </c>
      <c r="G24" s="8" t="n"/>
      <c r="H24" s="8" t="n"/>
      <c r="I24" s="8" t="n"/>
      <c r="J24" s="8" t="n"/>
      <c r="K24" s="8" t="n"/>
      <c r="L24" s="8" t="n"/>
      <c r="M24" s="8" t="n"/>
      <c r="N24" s="9">
        <f>IF(COUNTA(G24:L24)&lt;&gt;COUNTIF(G24:L24,1)+COUNTIF(G24:L24,2)+COUNTIF(G24:L24,3)+COUNTIF(G24:L24,4)+COUNTIF(G24:L24,5),"jen celá čísla 1–5",IF(AND(COUNTA(H24:L24)&gt;0,COUNTA(G24)=0),"doplňte Celkově",""))</f>
        <v/>
      </c>
    </row>
    <row r="25">
      <c r="A25" s="6" t="inlineStr">
        <is>
          <t>T3-D</t>
        </is>
      </c>
      <c r="B25" s="6" t="inlineStr">
        <is>
          <t>T3</t>
        </is>
      </c>
      <c r="C25" s="6" t="inlineStr">
        <is>
          <t>Přestavba strahovských kolejí ČVUT</t>
        </is>
      </c>
      <c r="D25" s="6" t="inlineStr">
        <is>
          <t>Rozšířená rešerše</t>
        </is>
      </c>
      <c r="E25" s="6" t="inlineStr">
        <is>
          <t>neprošla – nehodnotí se</t>
        </is>
      </c>
      <c r="F25" s="6" t="inlineStr">
        <is>
          <t>ne</t>
        </is>
      </c>
      <c r="G25" s="6" t="n"/>
      <c r="H25" s="6" t="n"/>
      <c r="I25" s="6" t="n"/>
      <c r="J25" s="6" t="n"/>
      <c r="K25" s="6" t="n"/>
      <c r="L25" s="6" t="n"/>
      <c r="M25" s="6" t="n"/>
      <c r="N25" s="7">
        <f>IF(COUNTA(G25:L25)&gt;0,"neprošlá verze se nehodnotí","")</f>
        <v/>
      </c>
    </row>
    <row r="26">
      <c r="A26" s="8" t="inlineStr">
        <is>
          <t>T3-E</t>
        </is>
      </c>
      <c r="B26" s="8" t="inlineStr">
        <is>
          <t>T3</t>
        </is>
      </c>
      <c r="C26" s="8" t="inlineStr">
        <is>
          <t>Přestavba strahovských kolejí ČVUT</t>
        </is>
      </c>
      <c r="D26" s="8" t="inlineStr">
        <is>
          <t>Rozšířená rešerše</t>
        </is>
      </c>
      <c r="E26" s="8" t="inlineStr">
        <is>
          <t>prošla napoprvé</t>
        </is>
      </c>
      <c r="F26" s="8" t="inlineStr">
        <is>
          <t>ano</t>
        </is>
      </c>
      <c r="G26" s="8" t="n"/>
      <c r="H26" s="8" t="n"/>
      <c r="I26" s="8" t="n"/>
      <c r="J26" s="8" t="n"/>
      <c r="K26" s="8" t="n"/>
      <c r="L26" s="8" t="n"/>
      <c r="M26" s="8" t="n"/>
      <c r="N26" s="9">
        <f>IF(COUNTA(G26:L26)&lt;&gt;COUNTIF(G26:L26,1)+COUNTIF(G26:L26,2)+COUNTIF(G26:L26,3)+COUNTIF(G26:L26,4)+COUNTIF(G26:L26,5),"jen celá čísla 1–5",IF(AND(COUNTA(H26:L26)&gt;0,COUNTA(G26)=0),"doplňte Celkově",""))</f>
        <v/>
      </c>
    </row>
    <row r="27">
      <c r="A27" s="12" t="inlineStr">
        <is>
          <t>T14-A</t>
        </is>
      </c>
      <c r="B27" s="12" t="inlineStr">
        <is>
          <t>T14</t>
        </is>
      </c>
      <c r="C27" s="12" t="inlineStr">
        <is>
          <t>Scio chce založit vlastní vysokou školu</t>
        </is>
      </c>
      <c r="D27" s="12" t="inlineStr">
        <is>
          <t>Rozšířená rešerše</t>
        </is>
      </c>
      <c r="E27" s="12" t="inlineStr">
        <is>
          <t>neprošla – nehodnotí se</t>
        </is>
      </c>
      <c r="F27" s="12" t="inlineStr">
        <is>
          <t>ne</t>
        </is>
      </c>
      <c r="G27" s="12" t="n"/>
      <c r="H27" s="12" t="n"/>
      <c r="I27" s="12" t="n"/>
      <c r="J27" s="12" t="n"/>
      <c r="K27" s="12" t="n"/>
      <c r="L27" s="12" t="n"/>
      <c r="M27" s="12" t="n"/>
      <c r="N27" s="13">
        <f>IF(COUNTA(G27:L27)&gt;0,"neprošlá verze se nehodnotí","")</f>
        <v/>
      </c>
    </row>
    <row r="28">
      <c r="A28" s="6" t="inlineStr">
        <is>
          <t>T14-B</t>
        </is>
      </c>
      <c r="B28" s="6" t="inlineStr">
        <is>
          <t>T14</t>
        </is>
      </c>
      <c r="C28" s="6" t="inlineStr">
        <is>
          <t>Scio chce založit vlastní vysokou školu</t>
        </is>
      </c>
      <c r="D28" s="6" t="inlineStr">
        <is>
          <t>Rozšířená rešerše</t>
        </is>
      </c>
      <c r="E28" s="6" t="inlineStr">
        <is>
          <t>neprošla – nehodnotí se</t>
        </is>
      </c>
      <c r="F28" s="6" t="inlineStr">
        <is>
          <t>ne</t>
        </is>
      </c>
      <c r="G28" s="6" t="n"/>
      <c r="H28" s="6" t="n"/>
      <c r="I28" s="6" t="n"/>
      <c r="J28" s="6" t="n"/>
      <c r="K28" s="6" t="n"/>
      <c r="L28" s="6" t="n"/>
      <c r="M28" s="6" t="n"/>
      <c r="N28" s="7">
        <f>IF(COUNTA(G28:L28)&gt;0,"neprošlá verze se nehodnotí","")</f>
        <v/>
      </c>
    </row>
    <row r="29">
      <c r="A29" s="6" t="inlineStr">
        <is>
          <t>T14-C</t>
        </is>
      </c>
      <c r="B29" s="6" t="inlineStr">
        <is>
          <t>T14</t>
        </is>
      </c>
      <c r="C29" s="6" t="inlineStr">
        <is>
          <t>Scio chce založit vlastní vysokou školu</t>
        </is>
      </c>
      <c r="D29" s="6" t="inlineStr">
        <is>
          <t>Rozšířená rešerše</t>
        </is>
      </c>
      <c r="E29" s="6" t="inlineStr">
        <is>
          <t>neprošla – nehodnotí se</t>
        </is>
      </c>
      <c r="F29" s="6" t="inlineStr">
        <is>
          <t>ne</t>
        </is>
      </c>
      <c r="G29" s="6" t="n"/>
      <c r="H29" s="6" t="n"/>
      <c r="I29" s="6" t="n"/>
      <c r="J29" s="6" t="n"/>
      <c r="K29" s="6" t="n"/>
      <c r="L29" s="6" t="n"/>
      <c r="M29" s="6" t="n"/>
      <c r="N29" s="7">
        <f>IF(COUNTA(G29:L29)&gt;0,"neprošlá verze se nehodnotí","")</f>
        <v/>
      </c>
    </row>
    <row r="30">
      <c r="A30" s="8" t="inlineStr">
        <is>
          <t>T14-D</t>
        </is>
      </c>
      <c r="B30" s="8" t="inlineStr">
        <is>
          <t>T14</t>
        </is>
      </c>
      <c r="C30" s="8" t="inlineStr">
        <is>
          <t>Scio chce založit vlastní vysokou školu</t>
        </is>
      </c>
      <c r="D30" s="8" t="inlineStr">
        <is>
          <t>Rozšířená rešerše</t>
        </is>
      </c>
      <c r="E30" s="8" t="inlineStr">
        <is>
          <t>prošla po jedné opravě</t>
        </is>
      </c>
      <c r="F30" s="8" t="inlineStr">
        <is>
          <t>ano</t>
        </is>
      </c>
      <c r="G30" s="8" t="n"/>
      <c r="H30" s="8" t="n"/>
      <c r="I30" s="8" t="n"/>
      <c r="J30" s="8" t="n"/>
      <c r="K30" s="8" t="n"/>
      <c r="L30" s="8" t="n"/>
      <c r="M30" s="8" t="n"/>
      <c r="N30" s="9">
        <f>IF(COUNTA(G30:L30)&lt;&gt;COUNTIF(G30:L30,1)+COUNTIF(G30:L30,2)+COUNTIF(G30:L30,3)+COUNTIF(G30:L30,4)+COUNTIF(G30:L30,5),"jen celá čísla 1–5",IF(AND(COUNTA(H30:L30)&gt;0,COUNTA(G30)=0),"doplňte Celkově",""))</f>
        <v/>
      </c>
    </row>
    <row r="31">
      <c r="A31" s="8" t="inlineStr">
        <is>
          <t>T14-E</t>
        </is>
      </c>
      <c r="B31" s="8" t="inlineStr">
        <is>
          <t>T14</t>
        </is>
      </c>
      <c r="C31" s="8" t="inlineStr">
        <is>
          <t>Scio chce založit vlastní vysokou školu</t>
        </is>
      </c>
      <c r="D31" s="8" t="inlineStr">
        <is>
          <t>Rozšířená rešerše</t>
        </is>
      </c>
      <c r="E31" s="8" t="inlineStr">
        <is>
          <t>prošla po jedné opravě</t>
        </is>
      </c>
      <c r="F31" s="8" t="inlineStr">
        <is>
          <t>ano</t>
        </is>
      </c>
      <c r="G31" s="8" t="n"/>
      <c r="H31" s="8" t="n"/>
      <c r="I31" s="8" t="n"/>
      <c r="J31" s="8" t="n"/>
      <c r="K31" s="8" t="n"/>
      <c r="L31" s="8" t="n"/>
      <c r="M31" s="8" t="n"/>
      <c r="N31" s="9">
        <f>IF(COUNTA(G31:L31)&lt;&gt;COUNTIF(G31:L31,1)+COUNTIF(G31:L31,2)+COUNTIF(G31:L31,3)+COUNTIF(G31:L31,4)+COUNTIF(G31:L31,5),"jen celá čísla 1–5",IF(AND(COUNTA(H31:L31)&gt;0,COUNTA(G31)=0),"doplňte Celkově",""))</f>
        <v/>
      </c>
    </row>
    <row r="32">
      <c r="A32" s="12" t="inlineStr">
        <is>
          <t>T15-auto-A</t>
        </is>
      </c>
      <c r="B32" s="12" t="inlineStr">
        <is>
          <t>T15</t>
        </is>
      </c>
      <c r="C32" s="12" t="inlineStr">
        <is>
          <t>Univerzitní hokejová derby</t>
        </is>
      </c>
      <c r="D32" s="12" t="inlineStr">
        <is>
          <t>Automatická cesta</t>
        </is>
      </c>
      <c r="E32" s="12" t="inlineStr">
        <is>
          <t>neprošla – nehodnotí se</t>
        </is>
      </c>
      <c r="F32" s="12" t="inlineStr">
        <is>
          <t>ne</t>
        </is>
      </c>
      <c r="G32" s="12" t="n"/>
      <c r="H32" s="12" t="n"/>
      <c r="I32" s="12" t="n"/>
      <c r="J32" s="12" t="n"/>
      <c r="K32" s="12" t="n"/>
      <c r="L32" s="12" t="n"/>
      <c r="M32" s="12" t="n"/>
      <c r="N32" s="13">
        <f>IF(COUNTA(G32:L32)&gt;0,"neprošlá verze se nehodnotí","")</f>
        <v/>
      </c>
    </row>
    <row r="33">
      <c r="A33" s="8" t="inlineStr">
        <is>
          <t>T15-auto-B</t>
        </is>
      </c>
      <c r="B33" s="8" t="inlineStr">
        <is>
          <t>T15</t>
        </is>
      </c>
      <c r="C33" s="8" t="inlineStr">
        <is>
          <t>Univerzitní hokejová derby</t>
        </is>
      </c>
      <c r="D33" s="8" t="inlineStr">
        <is>
          <t>Automatická cesta</t>
        </is>
      </c>
      <c r="E33" s="8" t="inlineStr">
        <is>
          <t>prošla po jedné opravě</t>
        </is>
      </c>
      <c r="F33" s="8" t="inlineStr">
        <is>
          <t>ano</t>
        </is>
      </c>
      <c r="G33" s="8" t="n"/>
      <c r="H33" s="8" t="n"/>
      <c r="I33" s="8" t="n"/>
      <c r="J33" s="8" t="n"/>
      <c r="K33" s="8" t="n"/>
      <c r="L33" s="8" t="n"/>
      <c r="M33" s="8" t="n"/>
      <c r="N33" s="9">
        <f>IF(COUNTA(G33:L33)&lt;&gt;COUNTIF(G33:L33,1)+COUNTIF(G33:L33,2)+COUNTIF(G33:L33,3)+COUNTIF(G33:L33,4)+COUNTIF(G33:L33,5),"jen celá čísla 1–5",IF(AND(COUNTA(H33:L33)&gt;0,COUNTA(G33)=0),"doplňte Celkově",""))</f>
        <v/>
      </c>
    </row>
    <row r="34">
      <c r="A34" s="8" t="inlineStr">
        <is>
          <t>T15-auto-C</t>
        </is>
      </c>
      <c r="B34" s="8" t="inlineStr">
        <is>
          <t>T15</t>
        </is>
      </c>
      <c r="C34" s="8" t="inlineStr">
        <is>
          <t>Univerzitní hokejová derby</t>
        </is>
      </c>
      <c r="D34" s="8" t="inlineStr">
        <is>
          <t>Automatická cesta</t>
        </is>
      </c>
      <c r="E34" s="8" t="inlineStr">
        <is>
          <t>prošla napoprvé</t>
        </is>
      </c>
      <c r="F34" s="8" t="inlineStr">
        <is>
          <t>ano</t>
        </is>
      </c>
      <c r="G34" s="8" t="n"/>
      <c r="H34" s="8" t="n"/>
      <c r="I34" s="8" t="n"/>
      <c r="J34" s="8" t="n"/>
      <c r="K34" s="8" t="n"/>
      <c r="L34" s="8" t="n"/>
      <c r="M34" s="8" t="n"/>
      <c r="N34" s="9">
        <f>IF(COUNTA(G34:L34)&lt;&gt;COUNTIF(G34:L34,1)+COUNTIF(G34:L34,2)+COUNTIF(G34:L34,3)+COUNTIF(G34:L34,4)+COUNTIF(G34:L34,5),"jen celá čísla 1–5",IF(AND(COUNTA(H34:L34)&gt;0,COUNTA(G34)=0),"doplňte Celkově",""))</f>
        <v/>
      </c>
    </row>
    <row r="35">
      <c r="A35" s="8" t="inlineStr">
        <is>
          <t>T15-auto-D</t>
        </is>
      </c>
      <c r="B35" s="8" t="inlineStr">
        <is>
          <t>T15</t>
        </is>
      </c>
      <c r="C35" s="8" t="inlineStr">
        <is>
          <t>Univerzitní hokejová derby</t>
        </is>
      </c>
      <c r="D35" s="8" t="inlineStr">
        <is>
          <t>Automatická cesta</t>
        </is>
      </c>
      <c r="E35" s="8" t="inlineStr">
        <is>
          <t>prošla napoprvé</t>
        </is>
      </c>
      <c r="F35" s="8" t="inlineStr">
        <is>
          <t>ano</t>
        </is>
      </c>
      <c r="G35" s="8" t="n"/>
      <c r="H35" s="8" t="n"/>
      <c r="I35" s="8" t="n"/>
      <c r="J35" s="8" t="n"/>
      <c r="K35" s="8" t="n"/>
      <c r="L35" s="8" t="n"/>
      <c r="M35" s="8" t="n"/>
      <c r="N35" s="9">
        <f>IF(COUNTA(G35:L35)&lt;&gt;COUNTIF(G35:L35,1)+COUNTIF(G35:L35,2)+COUNTIF(G35:L35,3)+COUNTIF(G35:L35,4)+COUNTIF(G35:L35,5),"jen celá čísla 1–5",IF(AND(COUNTA(H35:L35)&gt;0,COUNTA(G35)=0),"doplňte Celkově",""))</f>
        <v/>
      </c>
    </row>
    <row r="36">
      <c r="A36" s="8" t="inlineStr">
        <is>
          <t>T15-auto-E</t>
        </is>
      </c>
      <c r="B36" s="8" t="inlineStr">
        <is>
          <t>T15</t>
        </is>
      </c>
      <c r="C36" s="8" t="inlineStr">
        <is>
          <t>Univerzitní hokejová derby</t>
        </is>
      </c>
      <c r="D36" s="8" t="inlineStr">
        <is>
          <t>Automatická cesta</t>
        </is>
      </c>
      <c r="E36" s="8" t="inlineStr">
        <is>
          <t>prošla napoprvé</t>
        </is>
      </c>
      <c r="F36" s="8" t="inlineStr">
        <is>
          <t>ano</t>
        </is>
      </c>
      <c r="G36" s="8" t="n"/>
      <c r="H36" s="8" t="n"/>
      <c r="I36" s="8" t="n"/>
      <c r="J36" s="8" t="n"/>
      <c r="K36" s="8" t="n"/>
      <c r="L36" s="8" t="n"/>
      <c r="M36" s="8" t="n"/>
      <c r="N36" s="9">
        <f>IF(COUNTA(G36:L36)&lt;&gt;COUNTIF(G36:L36,1)+COUNTIF(G36:L36,2)+COUNTIF(G36:L36,3)+COUNTIF(G36:L36,4)+COUNTIF(G36:L36,5),"jen celá čísla 1–5",IF(AND(COUNTA(H36:L36)&gt;0,COUNTA(G36)=0),"doplňte Celkově",""))</f>
        <v/>
      </c>
    </row>
    <row r="37">
      <c r="A37" s="10" t="inlineStr">
        <is>
          <t>T16-A</t>
        </is>
      </c>
      <c r="B37" s="10" t="inlineStr">
        <is>
          <t>T16</t>
        </is>
      </c>
      <c r="C37" s="10" t="inlineStr">
        <is>
          <t>Neúspěch u maturity: jak na další pokus</t>
        </is>
      </c>
      <c r="D37" s="10" t="inlineStr">
        <is>
          <t>Rozšířená rešerše</t>
        </is>
      </c>
      <c r="E37" s="10" t="inlineStr">
        <is>
          <t>prošla napoprvé</t>
        </is>
      </c>
      <c r="F37" s="10" t="inlineStr">
        <is>
          <t>ano</t>
        </is>
      </c>
      <c r="G37" s="10" t="n"/>
      <c r="H37" s="10" t="n"/>
      <c r="I37" s="10" t="n"/>
      <c r="J37" s="10" t="n"/>
      <c r="K37" s="10" t="n"/>
      <c r="L37" s="10" t="n"/>
      <c r="M37" s="10" t="n"/>
      <c r="N37" s="11">
        <f>IF(COUNTA(G37:L37)&lt;&gt;COUNTIF(G37:L37,1)+COUNTIF(G37:L37,2)+COUNTIF(G37:L37,3)+COUNTIF(G37:L37,4)+COUNTIF(G37:L37,5),"jen celá čísla 1–5",IF(AND(COUNTA(H37:L37)&gt;0,COUNTA(G37)=0),"doplňte Celkově",""))</f>
        <v/>
      </c>
    </row>
    <row r="38">
      <c r="A38" s="8" t="inlineStr">
        <is>
          <t>T16-B</t>
        </is>
      </c>
      <c r="B38" s="8" t="inlineStr">
        <is>
          <t>T16</t>
        </is>
      </c>
      <c r="C38" s="8" t="inlineStr">
        <is>
          <t>Neúspěch u maturity: jak na další pokus</t>
        </is>
      </c>
      <c r="D38" s="8" t="inlineStr">
        <is>
          <t>Rozšířená rešerše</t>
        </is>
      </c>
      <c r="E38" s="8" t="inlineStr">
        <is>
          <t>prošla po jedné opravě</t>
        </is>
      </c>
      <c r="F38" s="8" t="inlineStr">
        <is>
          <t>ano</t>
        </is>
      </c>
      <c r="G38" s="8" t="n"/>
      <c r="H38" s="8" t="n"/>
      <c r="I38" s="8" t="n"/>
      <c r="J38" s="8" t="n"/>
      <c r="K38" s="8" t="n"/>
      <c r="L38" s="8" t="n"/>
      <c r="M38" s="8" t="n"/>
      <c r="N38" s="9">
        <f>IF(COUNTA(G38:L38)&lt;&gt;COUNTIF(G38:L38,1)+COUNTIF(G38:L38,2)+COUNTIF(G38:L38,3)+COUNTIF(G38:L38,4)+COUNTIF(G38:L38,5),"jen celá čísla 1–5",IF(AND(COUNTA(H38:L38)&gt;0,COUNTA(G38)=0),"doplňte Celkově",""))</f>
        <v/>
      </c>
    </row>
    <row r="39">
      <c r="A39" s="8" t="inlineStr">
        <is>
          <t>T16-C</t>
        </is>
      </c>
      <c r="B39" s="8" t="inlineStr">
        <is>
          <t>T16</t>
        </is>
      </c>
      <c r="C39" s="8" t="inlineStr">
        <is>
          <t>Neúspěch u maturity: jak na další pokus</t>
        </is>
      </c>
      <c r="D39" s="8" t="inlineStr">
        <is>
          <t>Rozšířená rešerše</t>
        </is>
      </c>
      <c r="E39" s="8" t="inlineStr">
        <is>
          <t>prošla po jedné opravě</t>
        </is>
      </c>
      <c r="F39" s="8" t="inlineStr">
        <is>
          <t>ano</t>
        </is>
      </c>
      <c r="G39" s="8" t="n"/>
      <c r="H39" s="8" t="n"/>
      <c r="I39" s="8" t="n"/>
      <c r="J39" s="8" t="n"/>
      <c r="K39" s="8" t="n"/>
      <c r="L39" s="8" t="n"/>
      <c r="M39" s="8" t="n"/>
      <c r="N39" s="9">
        <f>IF(COUNTA(G39:L39)&lt;&gt;COUNTIF(G39:L39,1)+COUNTIF(G39:L39,2)+COUNTIF(G39:L39,3)+COUNTIF(G39:L39,4)+COUNTIF(G39:L39,5),"jen celá čísla 1–5",IF(AND(COUNTA(H39:L39)&gt;0,COUNTA(G39)=0),"doplňte Celkově",""))</f>
        <v/>
      </c>
    </row>
    <row r="40">
      <c r="A40" s="8" t="inlineStr">
        <is>
          <t>T16-D</t>
        </is>
      </c>
      <c r="B40" s="8" t="inlineStr">
        <is>
          <t>T16</t>
        </is>
      </c>
      <c r="C40" s="8" t="inlineStr">
        <is>
          <t>Neúspěch u maturity: jak na další pokus</t>
        </is>
      </c>
      <c r="D40" s="8" t="inlineStr">
        <is>
          <t>Rozšířená rešerše</t>
        </is>
      </c>
      <c r="E40" s="8" t="inlineStr">
        <is>
          <t>prošla po jedné opravě</t>
        </is>
      </c>
      <c r="F40" s="8" t="inlineStr">
        <is>
          <t>ano</t>
        </is>
      </c>
      <c r="G40" s="8" t="n"/>
      <c r="H40" s="8" t="n"/>
      <c r="I40" s="8" t="n"/>
      <c r="J40" s="8" t="n"/>
      <c r="K40" s="8" t="n"/>
      <c r="L40" s="8" t="n"/>
      <c r="M40" s="8" t="n"/>
      <c r="N40" s="9">
        <f>IF(COUNTA(G40:L40)&lt;&gt;COUNTIF(G40:L40,1)+COUNTIF(G40:L40,2)+COUNTIF(G40:L40,3)+COUNTIF(G40:L40,4)+COUNTIF(G40:L40,5),"jen celá čísla 1–5",IF(AND(COUNTA(H40:L40)&gt;0,COUNTA(G40)=0),"doplňte Celkově",""))</f>
        <v/>
      </c>
    </row>
    <row r="41">
      <c r="A41" s="8" t="inlineStr">
        <is>
          <t>T16-E</t>
        </is>
      </c>
      <c r="B41" s="8" t="inlineStr">
        <is>
          <t>T16</t>
        </is>
      </c>
      <c r="C41" s="8" t="inlineStr">
        <is>
          <t>Neúspěch u maturity: jak na další pokus</t>
        </is>
      </c>
      <c r="D41" s="8" t="inlineStr">
        <is>
          <t>Rozšířená rešerše</t>
        </is>
      </c>
      <c r="E41" s="8" t="inlineStr">
        <is>
          <t>prošla napoprvé</t>
        </is>
      </c>
      <c r="F41" s="8" t="inlineStr">
        <is>
          <t>ano</t>
        </is>
      </c>
      <c r="G41" s="8" t="n"/>
      <c r="H41" s="8" t="n"/>
      <c r="I41" s="8" t="n"/>
      <c r="J41" s="8" t="n"/>
      <c r="K41" s="8" t="n"/>
      <c r="L41" s="8" t="n"/>
      <c r="M41" s="8" t="n"/>
      <c r="N41" s="9">
        <f>IF(COUNTA(G41:L41)&lt;&gt;COUNTIF(G41:L41,1)+COUNTIF(G41:L41,2)+COUNTIF(G41:L41,3)+COUNTIF(G41:L41,4)+COUNTIF(G41:L41,5),"jen celá čísla 1–5",IF(AND(COUNTA(H41:L41)&gt;0,COUNTA(G41)=0),"doplňte Celkově",""))</f>
        <v/>
      </c>
    </row>
    <row r="42">
      <c r="A42" s="10" t="inlineStr">
        <is>
          <t>T17-A</t>
        </is>
      </c>
      <c r="B42" s="10" t="inlineStr">
        <is>
          <t>T17</t>
        </is>
      </c>
      <c r="C42" s="10" t="inlineStr">
        <is>
          <t>Farmaceutická fakulta UK v novém kampusu v Hradci Králové: první týdny</t>
        </is>
      </c>
      <c r="D42" s="10" t="inlineStr">
        <is>
          <t>Rozšířená rešerše</t>
        </is>
      </c>
      <c r="E42" s="10" t="inlineStr">
        <is>
          <t>prošla napoprvé</t>
        </is>
      </c>
      <c r="F42" s="10" t="inlineStr">
        <is>
          <t>ano</t>
        </is>
      </c>
      <c r="G42" s="10" t="n"/>
      <c r="H42" s="10" t="n"/>
      <c r="I42" s="10" t="n"/>
      <c r="J42" s="10" t="n"/>
      <c r="K42" s="10" t="n"/>
      <c r="L42" s="10" t="n"/>
      <c r="M42" s="10" t="n"/>
      <c r="N42" s="11">
        <f>IF(COUNTA(G42:L42)&lt;&gt;COUNTIF(G42:L42,1)+COUNTIF(G42:L42,2)+COUNTIF(G42:L42,3)+COUNTIF(G42:L42,4)+COUNTIF(G42:L42,5),"jen celá čísla 1–5",IF(AND(COUNTA(H42:L42)&gt;0,COUNTA(G42)=0),"doplňte Celkově",""))</f>
        <v/>
      </c>
    </row>
    <row r="43">
      <c r="A43" s="8" t="inlineStr">
        <is>
          <t>T17-B</t>
        </is>
      </c>
      <c r="B43" s="8" t="inlineStr">
        <is>
          <t>T17</t>
        </is>
      </c>
      <c r="C43" s="8" t="inlineStr">
        <is>
          <t>Farmaceutická fakulta UK v novém kampusu v Hradci Králové: první týdny</t>
        </is>
      </c>
      <c r="D43" s="8" t="inlineStr">
        <is>
          <t>Rozšířená rešerše</t>
        </is>
      </c>
      <c r="E43" s="8" t="inlineStr">
        <is>
          <t>prošla po jedné opravě</t>
        </is>
      </c>
      <c r="F43" s="8" t="inlineStr">
        <is>
          <t>ano</t>
        </is>
      </c>
      <c r="G43" s="8" t="n"/>
      <c r="H43" s="8" t="n"/>
      <c r="I43" s="8" t="n"/>
      <c r="J43" s="8" t="n"/>
      <c r="K43" s="8" t="n"/>
      <c r="L43" s="8" t="n"/>
      <c r="M43" s="8" t="n"/>
      <c r="N43" s="9">
        <f>IF(COUNTA(G43:L43)&lt;&gt;COUNTIF(G43:L43,1)+COUNTIF(G43:L43,2)+COUNTIF(G43:L43,3)+COUNTIF(G43:L43,4)+COUNTIF(G43:L43,5),"jen celá čísla 1–5",IF(AND(COUNTA(H43:L43)&gt;0,COUNTA(G43)=0),"doplňte Celkově",""))</f>
        <v/>
      </c>
    </row>
    <row r="44">
      <c r="A44" s="8" t="inlineStr">
        <is>
          <t>T17-C</t>
        </is>
      </c>
      <c r="B44" s="8" t="inlineStr">
        <is>
          <t>T17</t>
        </is>
      </c>
      <c r="C44" s="8" t="inlineStr">
        <is>
          <t>Farmaceutická fakulta UK v novém kampusu v Hradci Králové: první týdny</t>
        </is>
      </c>
      <c r="D44" s="8" t="inlineStr">
        <is>
          <t>Rozšířená rešerše</t>
        </is>
      </c>
      <c r="E44" s="8" t="inlineStr">
        <is>
          <t>prošla po jedné opravě</t>
        </is>
      </c>
      <c r="F44" s="8" t="inlineStr">
        <is>
          <t>ano</t>
        </is>
      </c>
      <c r="G44" s="8" t="n"/>
      <c r="H44" s="8" t="n"/>
      <c r="I44" s="8" t="n"/>
      <c r="J44" s="8" t="n"/>
      <c r="K44" s="8" t="n"/>
      <c r="L44" s="8" t="n"/>
      <c r="M44" s="8" t="n"/>
      <c r="N44" s="9">
        <f>IF(COUNTA(G44:L44)&lt;&gt;COUNTIF(G44:L44,1)+COUNTIF(G44:L44,2)+COUNTIF(G44:L44,3)+COUNTIF(G44:L44,4)+COUNTIF(G44:L44,5),"jen celá čísla 1–5",IF(AND(COUNTA(H44:L44)&gt;0,COUNTA(G44)=0),"doplňte Celkově",""))</f>
        <v/>
      </c>
    </row>
    <row r="45">
      <c r="A45" s="8" t="inlineStr">
        <is>
          <t>T17-D</t>
        </is>
      </c>
      <c r="B45" s="8" t="inlineStr">
        <is>
          <t>T17</t>
        </is>
      </c>
      <c r="C45" s="8" t="inlineStr">
        <is>
          <t>Farmaceutická fakulta UK v novém kampusu v Hradci Králové: první týdny</t>
        </is>
      </c>
      <c r="D45" s="8" t="inlineStr">
        <is>
          <t>Rozšířená rešerše</t>
        </is>
      </c>
      <c r="E45" s="8" t="inlineStr">
        <is>
          <t>prošla po jedné opravě</t>
        </is>
      </c>
      <c r="F45" s="8" t="inlineStr">
        <is>
          <t>ano</t>
        </is>
      </c>
      <c r="G45" s="8" t="n"/>
      <c r="H45" s="8" t="n"/>
      <c r="I45" s="8" t="n"/>
      <c r="J45" s="8" t="n"/>
      <c r="K45" s="8" t="n"/>
      <c r="L45" s="8" t="n"/>
      <c r="M45" s="8" t="n"/>
      <c r="N45" s="9">
        <f>IF(COUNTA(G45:L45)&lt;&gt;COUNTIF(G45:L45,1)+COUNTIF(G45:L45,2)+COUNTIF(G45:L45,3)+COUNTIF(G45:L45,4)+COUNTIF(G45:L45,5),"jen celá čísla 1–5",IF(AND(COUNTA(H45:L45)&gt;0,COUNTA(G45)=0),"doplňte Celkově",""))</f>
        <v/>
      </c>
    </row>
    <row r="46">
      <c r="A46" s="8" t="inlineStr">
        <is>
          <t>T17-E</t>
        </is>
      </c>
      <c r="B46" s="8" t="inlineStr">
        <is>
          <t>T17</t>
        </is>
      </c>
      <c r="C46" s="8" t="inlineStr">
        <is>
          <t>Farmaceutická fakulta UK v novém kampusu v Hradci Králové: první týdny</t>
        </is>
      </c>
      <c r="D46" s="8" t="inlineStr">
        <is>
          <t>Rozšířená rešerše</t>
        </is>
      </c>
      <c r="E46" s="8" t="inlineStr">
        <is>
          <t>prošla po jedné opravě</t>
        </is>
      </c>
      <c r="F46" s="8" t="inlineStr">
        <is>
          <t>ano</t>
        </is>
      </c>
      <c r="G46" s="8" t="n"/>
      <c r="H46" s="8" t="n"/>
      <c r="I46" s="8" t="n"/>
      <c r="J46" s="8" t="n"/>
      <c r="K46" s="8" t="n"/>
      <c r="L46" s="8" t="n"/>
      <c r="M46" s="8" t="n"/>
      <c r="N46" s="9">
        <f>IF(COUNTA(G46:L46)&lt;&gt;COUNTIF(G46:L46,1)+COUNTIF(G46:L46,2)+COUNTIF(G46:L46,3)+COUNTIF(G46:L46,4)+COUNTIF(G46:L46,5),"jen celá čísla 1–5",IF(AND(COUNTA(H46:L46)&gt;0,COUNTA(G46)=0),"doplňte Celkově",""))</f>
        <v/>
      </c>
    </row>
  </sheetData>
  <autoFilter ref="A6:N46"/>
  <conditionalFormatting sqref="G7:L46">
    <cfRule type="expression" priority="1" dxfId="0">
      <formula>IF(G7="",FALSE,IF(ISNUMBER(G7),OR(G7&lt;1,G7&gt;5,G7&lt;&gt;INT(G7)),TRUE))</formula>
    </cfRule>
  </conditionalFormatting>
  <dataValidations count="3">
    <dataValidation sqref="C3" showDropDown="0" showInputMessage="0" showErrorMessage="1" allowBlank="1" errorTitle="Hodnotím za" error="Vyberte ze seznamu: VysokeSkoly.cz nebo EffiStream." type="list">
      <formula1>"VysokeSkoly.cz,EffiStream"</formula1>
    </dataValidation>
    <dataValidation sqref="G8:L8 G9:L9 G10:L10 G11:L11 G12:L12 G15:L15 G16:L16 G17:L17 G19:L19 G20:L20 G21:L21 G22:L22 G23:L23 G24:L24 G26:L26 G30:L30 G31:L31 G33:L33 G34:L34 G35:L35 G36:L36 G37:L37 G38:L38 G39:L39 G40:L40 G41:L41 G42:L42 G43:L43 G44:L44 G45:L45 G46:L46" showDropDown="0" showInputMessage="0" showErrorMessage="1" allowBlank="1" errorTitle="Mimo stupnici" error="Zadejte celé číslo 1–5." type="whole" operator="between">
      <formula1>1</formula1>
      <formula2>5</formula2>
    </dataValidation>
    <dataValidation sqref="G7:M7 G13:M13 G14:M14 G18:M18 G25:M25 G27:M27 G28:M28 G29:M29 G32:M32" showDropDown="0" showInputMessage="0" showErrorMessage="1" allowBlank="1" errorTitle="Nehodnotí se" error="Tato verze neprošla automatickou kontrolou a nehodnotí se." type="textLength" operator="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2" customWidth="1" min="4" max="4"/>
    <col width="12" customWidth="1" min="5" max="5"/>
    <col width="14" customWidth="1" min="6" max="6"/>
  </cols>
  <sheetData>
    <row r="1">
      <c r="A1" s="14" t="inlineStr">
        <is>
          <t>Souhrn vašeho hodnocení (počítá se samo z listu Hodnocení)</t>
        </is>
      </c>
    </row>
    <row r="2"/>
    <row r="3">
      <c r="A3" s="2" t="inlineStr">
        <is>
          <t>Ohodnoceno verzí (Celkově):</t>
        </is>
      </c>
      <c r="B3">
        <f>COUNTIFS('Hodnocení'!F7:F46,"ano",'Hodnocení'!G7:G46,"&gt;=1",'Hodnocení'!G7:G46,"&lt;=5")</f>
        <v/>
      </c>
    </row>
    <row r="4">
      <c r="A4" s="2" t="inlineStr">
        <is>
          <t>Verzí k hodnocení:</t>
        </is>
      </c>
      <c r="B4">
        <f>COUNTIF('Hodnocení'!F7:F46,"ano")</f>
        <v/>
      </c>
    </row>
    <row r="5">
      <c r="A5" s="2" t="inlineStr">
        <is>
          <t>Průměr Celkově:</t>
        </is>
      </c>
      <c r="B5" s="15">
        <f>IFERROR(AVERAGEIFS('Hodnocení'!G7:G46,'Hodnocení'!F7:F46,"ano",'Hodnocení'!G7:G46,"&gt;=1",'Hodnocení'!G7:G46,"&lt;=5"),"")</f>
        <v/>
      </c>
    </row>
    <row r="6"/>
    <row r="7">
      <c r="A7" s="16" t="inlineStr">
        <is>
          <t>Téma</t>
        </is>
      </c>
      <c r="B7" s="16" t="inlineStr">
        <is>
          <t>Název tématu</t>
        </is>
      </c>
      <c r="C7" s="16" t="inlineStr">
        <is>
          <t>Cesta</t>
        </is>
      </c>
      <c r="D7" s="16" t="inlineStr">
        <is>
          <t>K hodnocení</t>
        </is>
      </c>
      <c r="E7" s="16" t="inlineStr">
        <is>
          <t>Ohodnoceno</t>
        </is>
      </c>
      <c r="F7" s="16" t="inlineStr">
        <is>
          <t>Průměr Celkově</t>
        </is>
      </c>
    </row>
    <row r="8">
      <c r="A8" t="inlineStr">
        <is>
          <t>T1</t>
        </is>
      </c>
      <c r="B8" t="inlineStr">
        <is>
          <t>OECD: podíl vysokoškoláků v Česku</t>
        </is>
      </c>
      <c r="C8" t="inlineStr">
        <is>
          <t>Rozšířená rešerše</t>
        </is>
      </c>
      <c r="D8">
        <f>COUNTIFS('Hodnocení'!B7:B46,A8,'Hodnocení'!D7:D46,C8,'Hodnocení'!F7:F46,"ano")</f>
        <v/>
      </c>
      <c r="E8">
        <f>COUNTIFS('Hodnocení'!B7:B46,A8,'Hodnocení'!D7:D46,C8,'Hodnocení'!F7:F46,"ano",'Hodnocení'!G7:G46,"&gt;=1",'Hodnocení'!G7:G46,"&lt;=5")</f>
        <v/>
      </c>
      <c r="F8" s="15">
        <f>IFERROR(AVERAGEIFS('Hodnocení'!G7:G46,'Hodnocení'!B7:B46,A8,'Hodnocení'!D7:D46,C8,'Hodnocení'!F7:F46,"ano",'Hodnocení'!G7:G46,"&gt;=1",'Hodnocení'!G7:G46,"&lt;=5"),"")</f>
        <v/>
      </c>
    </row>
    <row r="9">
      <c r="A9" t="inlineStr">
        <is>
          <t>T1</t>
        </is>
      </c>
      <c r="B9" t="inlineStr">
        <is>
          <t>OECD: podíl vysokoškoláků v Česku</t>
        </is>
      </c>
      <c r="C9" t="inlineStr">
        <is>
          <t>Automatická cesta</t>
        </is>
      </c>
      <c r="D9">
        <f>COUNTIFS('Hodnocení'!B7:B46,A9,'Hodnocení'!D7:D46,C9,'Hodnocení'!F7:F46,"ano")</f>
        <v/>
      </c>
      <c r="E9">
        <f>COUNTIFS('Hodnocení'!B7:B46,A9,'Hodnocení'!D7:D46,C9,'Hodnocení'!F7:F46,"ano",'Hodnocení'!G7:G46,"&gt;=1",'Hodnocení'!G7:G46,"&lt;=5")</f>
        <v/>
      </c>
      <c r="F9" s="15">
        <f>IFERROR(AVERAGEIFS('Hodnocení'!G7:G46,'Hodnocení'!B7:B46,A9,'Hodnocení'!D7:D46,C9,'Hodnocení'!F7:F46,"ano",'Hodnocení'!G7:G46,"&gt;=1",'Hodnocení'!G7:G46,"&lt;=5"),"")</f>
        <v/>
      </c>
    </row>
    <row r="10">
      <c r="A10" t="inlineStr">
        <is>
          <t>T2</t>
        </is>
      </c>
      <c r="B10" t="inlineStr">
        <is>
          <t>Nový kampus UK v Hradci Králové</t>
        </is>
      </c>
      <c r="C10" t="inlineStr">
        <is>
          <t>Rozšířená rešerše</t>
        </is>
      </c>
      <c r="D10">
        <f>COUNTIFS('Hodnocení'!B7:B46,A10,'Hodnocení'!D7:D46,C10,'Hodnocení'!F7:F46,"ano")</f>
        <v/>
      </c>
      <c r="E10">
        <f>COUNTIFS('Hodnocení'!B7:B46,A10,'Hodnocení'!D7:D46,C10,'Hodnocení'!F7:F46,"ano",'Hodnocení'!G7:G46,"&gt;=1",'Hodnocení'!G7:G46,"&lt;=5")</f>
        <v/>
      </c>
      <c r="F10" s="15">
        <f>IFERROR(AVERAGEIFS('Hodnocení'!G7:G46,'Hodnocení'!B7:B46,A10,'Hodnocení'!D7:D46,C10,'Hodnocení'!F7:F46,"ano",'Hodnocení'!G7:G46,"&gt;=1",'Hodnocení'!G7:G46,"&lt;=5"),"")</f>
        <v/>
      </c>
    </row>
    <row r="11">
      <c r="A11" t="inlineStr">
        <is>
          <t>T3</t>
        </is>
      </c>
      <c r="B11" t="inlineStr">
        <is>
          <t>Přestavba strahovských kolejí ČVUT</t>
        </is>
      </c>
      <c r="C11" t="inlineStr">
        <is>
          <t>Rozšířená rešerše</t>
        </is>
      </c>
      <c r="D11">
        <f>COUNTIFS('Hodnocení'!B7:B46,A11,'Hodnocení'!D7:D46,C11,'Hodnocení'!F7:F46,"ano")</f>
        <v/>
      </c>
      <c r="E11">
        <f>COUNTIFS('Hodnocení'!B7:B46,A11,'Hodnocení'!D7:D46,C11,'Hodnocení'!F7:F46,"ano",'Hodnocení'!G7:G46,"&gt;=1",'Hodnocení'!G7:G46,"&lt;=5")</f>
        <v/>
      </c>
      <c r="F11" s="15">
        <f>IFERROR(AVERAGEIFS('Hodnocení'!G7:G46,'Hodnocení'!B7:B46,A11,'Hodnocení'!D7:D46,C11,'Hodnocení'!F7:F46,"ano",'Hodnocení'!G7:G46,"&gt;=1",'Hodnocení'!G7:G46,"&lt;=5"),"")</f>
        <v/>
      </c>
    </row>
    <row r="12">
      <c r="A12" t="inlineStr">
        <is>
          <t>T14</t>
        </is>
      </c>
      <c r="B12" t="inlineStr">
        <is>
          <t>Scio chce založit vlastní vysokou školu</t>
        </is>
      </c>
      <c r="C12" t="inlineStr">
        <is>
          <t>Rozšířená rešerše</t>
        </is>
      </c>
      <c r="D12">
        <f>COUNTIFS('Hodnocení'!B7:B46,A12,'Hodnocení'!D7:D46,C12,'Hodnocení'!F7:F46,"ano")</f>
        <v/>
      </c>
      <c r="E12">
        <f>COUNTIFS('Hodnocení'!B7:B46,A12,'Hodnocení'!D7:D46,C12,'Hodnocení'!F7:F46,"ano",'Hodnocení'!G7:G46,"&gt;=1",'Hodnocení'!G7:G46,"&lt;=5")</f>
        <v/>
      </c>
      <c r="F12" s="15">
        <f>IFERROR(AVERAGEIFS('Hodnocení'!G7:G46,'Hodnocení'!B7:B46,A12,'Hodnocení'!D7:D46,C12,'Hodnocení'!F7:F46,"ano",'Hodnocení'!G7:G46,"&gt;=1",'Hodnocení'!G7:G46,"&lt;=5"),"")</f>
        <v/>
      </c>
    </row>
    <row r="13">
      <c r="A13" t="inlineStr">
        <is>
          <t>T15</t>
        </is>
      </c>
      <c r="B13" t="inlineStr">
        <is>
          <t>Univerzitní hokejová derby</t>
        </is>
      </c>
      <c r="C13" t="inlineStr">
        <is>
          <t>Automatická cesta</t>
        </is>
      </c>
      <c r="D13">
        <f>COUNTIFS('Hodnocení'!B7:B46,A13,'Hodnocení'!D7:D46,C13,'Hodnocení'!F7:F46,"ano")</f>
        <v/>
      </c>
      <c r="E13">
        <f>COUNTIFS('Hodnocení'!B7:B46,A13,'Hodnocení'!D7:D46,C13,'Hodnocení'!F7:F46,"ano",'Hodnocení'!G7:G46,"&gt;=1",'Hodnocení'!G7:G46,"&lt;=5")</f>
        <v/>
      </c>
      <c r="F13" s="15">
        <f>IFERROR(AVERAGEIFS('Hodnocení'!G7:G46,'Hodnocení'!B7:B46,A13,'Hodnocení'!D7:D46,C13,'Hodnocení'!F7:F46,"ano",'Hodnocení'!G7:G46,"&gt;=1",'Hodnocení'!G7:G46,"&lt;=5"),"")</f>
        <v/>
      </c>
    </row>
    <row r="14">
      <c r="A14" t="inlineStr">
        <is>
          <t>T16</t>
        </is>
      </c>
      <c r="B14" t="inlineStr">
        <is>
          <t>Neúspěch u maturity: jak na další pokus</t>
        </is>
      </c>
      <c r="C14" t="inlineStr">
        <is>
          <t>Rozšířená rešerše</t>
        </is>
      </c>
      <c r="D14">
        <f>COUNTIFS('Hodnocení'!B7:B46,A14,'Hodnocení'!D7:D46,C14,'Hodnocení'!F7:F46,"ano")</f>
        <v/>
      </c>
      <c r="E14">
        <f>COUNTIFS('Hodnocení'!B7:B46,A14,'Hodnocení'!D7:D46,C14,'Hodnocení'!F7:F46,"ano",'Hodnocení'!G7:G46,"&gt;=1",'Hodnocení'!G7:G46,"&lt;=5")</f>
        <v/>
      </c>
      <c r="F14" s="15">
        <f>IFERROR(AVERAGEIFS('Hodnocení'!G7:G46,'Hodnocení'!B7:B46,A14,'Hodnocení'!D7:D46,C14,'Hodnocení'!F7:F46,"ano",'Hodnocení'!G7:G46,"&gt;=1",'Hodnocení'!G7:G46,"&lt;=5"),"")</f>
        <v/>
      </c>
    </row>
    <row r="15">
      <c r="A15" t="inlineStr">
        <is>
          <t>T17</t>
        </is>
      </c>
      <c r="B15" t="inlineStr">
        <is>
          <t>Farmaceutická fakulta UK v novém kampusu v Hradci Králové: první týdny</t>
        </is>
      </c>
      <c r="C15" t="inlineStr">
        <is>
          <t>Rozšířená rešerše</t>
        </is>
      </c>
      <c r="D15">
        <f>COUNTIFS('Hodnocení'!B7:B46,A15,'Hodnocení'!D7:D46,C15,'Hodnocení'!F7:F46,"ano")</f>
        <v/>
      </c>
      <c r="E15">
        <f>COUNTIFS('Hodnocení'!B7:B46,A15,'Hodnocení'!D7:D46,C15,'Hodnocení'!F7:F46,"ano",'Hodnocení'!G7:G46,"&gt;=1",'Hodnocení'!G7:G46,"&lt;=5")</f>
        <v/>
      </c>
      <c r="F15" s="15">
        <f>IFERROR(AVERAGEIFS('Hodnocení'!G7:G46,'Hodnocení'!B7:B46,A15,'Hodnocení'!D7:D46,C15,'Hodnocení'!F7:F46,"ano",'Hodnocení'!G7:G46,"&gt;=1",'Hodnocení'!G7:G46,"&lt;=5"),"")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Ukázky článků: hodnocení naslepo</t>
        </is>
      </c>
    </row>
    <row r="2">
      <c r="A2" s="8" t="inlineStr">
        <is>
          <t>Pět jazykových modelů napsalo stejná témata ze září a začátku října. Prosíme vás, abyste si verze v klidu přečetli a ohodnotili. Hodnocení lidí z VysokeSkoly.cz a z EffiStreamu rozhodne, který model bude články psát. Na schůzce verze projdeme společně.</t>
        </is>
      </c>
    </row>
    <row r="3">
      <c r="A3" s="8" t="inlineStr"/>
    </row>
    <row r="4">
      <c r="A4" s="17" t="inlineStr">
        <is>
          <t>Jak číst označení verzí</t>
        </is>
      </c>
    </row>
    <row r="5">
      <c r="A5" s="8" t="inlineStr">
        <is>
          <t>Verze jsou u každého tématu označené písmeny A–E. Písmena jsou u každého tématu vylosovaná zvlášť: verze A u jednoho tématu nemusí být stejný model jako verze A u jiného.</t>
        </is>
      </c>
    </row>
    <row r="6">
      <c r="A6" s="8" t="inlineStr">
        <is>
          <t>U některých témat jsou dvě cesty ke zdrojům. Stejné písmeno znamená u jednoho tématu v obou cestách stejný model: verze T1-B i T1-auto-B napsal tentýž model.</t>
        </is>
      </c>
    </row>
    <row r="7">
      <c r="A7" s="8" t="inlineStr">
        <is>
          <t>Každá verze má označení pro hodnocení (třeba T1-A nebo T1-auto-B). Stejné označení najdete v tabulce.</t>
        </is>
      </c>
    </row>
    <row r="8">
      <c r="A8" s="8" t="inlineStr"/>
    </row>
    <row r="9">
      <c r="A9" s="17" t="inlineStr">
        <is>
          <t>Jak hodnotit</t>
        </is>
      </c>
    </row>
    <row r="10">
      <c r="A10" s="8" t="inlineStr">
        <is>
          <t>Každé kritérium hodnoťte na stupnici 1–5. Povinné je jen Celkově; dílčí kritéria a poznámka pomohou rozhodnout, ale můžete je vynechat.</t>
        </is>
      </c>
    </row>
    <row r="11">
      <c r="A11" s="8" t="inlineStr">
        <is>
          <t>Celkově: jak daleko má verze k vydání na VysokeSkoly.cz</t>
        </is>
      </c>
    </row>
    <row r="12">
      <c r="A12" s="8" t="inlineStr">
        <is>
          <t>Úhel a zpracování: vybral článek z tématu to podstatné pro uchazeče a studenty a je to zajímavé?</t>
        </is>
      </c>
    </row>
    <row r="13">
      <c r="A13" s="8" t="inlineStr">
        <is>
          <t>Fakta: sedí údaje se zdroji, nic není domyšlené ani zkreslené? Ověřená fakta jsou u každého článku v podkladu.</t>
        </is>
      </c>
    </row>
    <row r="14">
      <c r="A14" s="8" t="inlineStr">
        <is>
          <t>Styl a tón: čtivost, srozumitelnost, tón VysokeSkoly.cz</t>
        </is>
      </c>
    </row>
    <row r="15">
      <c r="A15" s="8" t="inlineStr">
        <is>
          <t>Struktura: titulek, perex, „V tomto článku se dozvíš“, mezititulky, délka</t>
        </is>
      </c>
    </row>
    <row r="16">
      <c r="A16" s="8" t="inlineStr">
        <is>
          <t>Odkazy a zdroje: odkazy na zdroje a na VysokeSkoly.cz, uvedení zdrojů</t>
        </is>
      </c>
    </row>
    <row r="17">
      <c r="A17" s="8" t="inlineStr"/>
    </row>
    <row r="18">
      <c r="A18" s="17" t="inlineStr">
        <is>
          <t>Stupnice (pro všechna kritéria)</t>
        </is>
      </c>
    </row>
    <row r="19">
      <c r="A19" s="8" t="inlineStr">
        <is>
          <t>5 = vydat po drobné úpravě</t>
        </is>
      </c>
    </row>
    <row r="20">
      <c r="A20" s="8" t="inlineStr">
        <is>
          <t>4 = do 15 minut úprav</t>
        </is>
      </c>
    </row>
    <row r="21">
      <c r="A21" s="8" t="inlineStr">
        <is>
          <t>3 = větší úpravy</t>
        </is>
      </c>
    </row>
    <row r="22">
      <c r="A22" s="8" t="inlineStr">
        <is>
          <t>2 = přepsat podstatnou část</t>
        </is>
      </c>
    </row>
    <row r="23">
      <c r="A23" s="8" t="inlineStr">
        <is>
          <t>1 = nepoužitelné</t>
        </is>
      </c>
    </row>
    <row r="24">
      <c r="A24" s="8" t="inlineStr">
        <is>
          <t>Mezi 5 a 4 rozhoduje rozsah úprav: 5 = stačí opravit překlep nebo pár slov, 4 = úpravy na víc místech, ale do 15 minut.</t>
        </is>
      </c>
    </row>
    <row r="25">
      <c r="A25" s="8" t="inlineStr">
        <is>
          <t>Dílčí kritéria hodnoťte stejnou stupnicí, jen pro daný ohled: kolik práce by s ním redakce měla.</t>
        </is>
      </c>
    </row>
    <row r="26">
      <c r="A26" s="8" t="inlineStr"/>
    </row>
    <row r="27">
      <c r="A27" s="17" t="inlineStr">
        <is>
          <t>Jak hodnocení odevzdat</t>
        </is>
      </c>
    </row>
    <row r="28">
      <c r="A28" s="8" t="inlineStr">
        <is>
          <t>Hodnocení zapište do přiložené tabulky (hodnoceni-clanku.xlsx; otevře ji Excel, LibreOffice i Numbers). Nahoře doplňte své jméno a za koho hodnotíte. Každá verze má v tabulce řádek se stejným označením jako u článku. Řádky verzí, které neprošly kontrolou, nevyplňujte.</t>
        </is>
      </c>
    </row>
    <row r="29">
      <c r="A29" s="8" t="inlineStr">
        <is>
          <t>Hodnota mimo 1–5 nebo text ve sloupci kritéria se zvýrazní a ve sloupci Kontrola se objeví upozornění.</t>
        </is>
      </c>
    </row>
    <row r="30">
      <c r="A30" s="8" t="inlineStr">
        <is>
          <t>Tabulku si před vyplněním uložte pod svým jménem, třeba hodnoceni-clanku-vase-prijmeni.xlsx, ať se vrácené tabulky nepřepíšou.</t>
        </is>
      </c>
    </row>
    <row r="31">
      <c r="A31" s="8" t="inlineStr">
        <is>
          <t>Na dotazy odpoví Tomáš Hruška (tomas.hruska@effistream.eu).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EffiStream</dc:creator>
  <dc:title xmlns:dc="http://purl.org/dc/elements/1.1/">Ukázky článků k hodnocení</dc:title>
  <dcterms:created xmlns:dcterms="http://purl.org/dc/terms/" xmlns:xsi="http://www.w3.org/2001/XMLSchema-instance" xsi:type="dcterms:W3CDTF">2026-10-10T10:54:18Z</dcterms:created>
  <dcterms:modified xmlns:dcterms="http://purl.org/dc/terms/" xmlns:xsi="http://www.w3.org/2001/XMLSchema-instance" xsi:type="dcterms:W3CDTF">2026-10-10T10:54:18Z</dcterms:modified>
  <cp:lastModifiedBy>EffiStream</cp:lastModifiedBy>
</cp:coreProperties>
</file>